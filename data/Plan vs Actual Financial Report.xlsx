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<sst xmlns="http://schemas.openxmlformats.org/spreadsheetml/2006/main" count="28" uniqueCount="28">
  <si>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MONTHLY FINANCIAL RECORDS 2025</t>
  </si>
  <si>
    <t>Description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</si>
  <si>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</si>
  <si>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</si>
  <si>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</si>
  <si>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</si>
  <si>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</si>
  <si>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</si>
  <si>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</si>
  <si>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</si>
  <si>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</si>
  <si>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</si>
  <si>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</si>
  <si>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</si>
  <si>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test</t>
  </si>
  <si>
    <t>Plan Monthly Revenue</t>
  </si>
  <si>
    <t>Plan Monthly Cost</t>
  </si>
  <si>
    <t>Plan Cummulative Revenue</t>
  </si>
  <si>
    <t>Plan Cummulative Cost</t>
  </si>
  <si>
    <t>Plan Variance Monthly</t>
  </si>
  <si>
    <t>Plan Variance Cummulative</t>
  </si>
  <si>
    <t>Actual Monthly Revenue</t>
  </si>
  <si>
    <t>Actual Monthly Cost</t>
  </si>
  <si>
    <t>Actual Cummulative Revenue</t>
  </si>
  <si>
    <t>Actual Cummulative Cost</t>
  </si>
  <si>
    <t>Actual Variance Monthly</t>
  </si>
  <si>
    <t>Actual Variance Cummulative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</si>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</sst>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43"/>
  </cols>
  <sheetData>
    <row r="1" ht="14.25" customHeight="1">
      <c r="D1" s="1" t="s">
        <v>0</v>
      </c>
      <c r="E1" s="2"/>
      <c r="F1" s="2"/>
      <c r="G1" s="2"/>
      <c r="H1" s="3"/>
    </row>
    <row r="2" ht="14.25" customHeight="1">
      <c r="D2" s="4"/>
      <c r="E2" s="5"/>
      <c r="F2" s="5"/>
      <c r="G2" s="5"/>
      <c r="H2" s="6"/>
    </row>
    <row r="3" ht="14.25" customHeight="1"/>
    <row r="4" ht="14.25" customHeight="1"/>
    <row r="5" ht="14.25" customHeight="1"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7" t="s">
        <v>14</v>
      </c>
    </row>
    <row r="6" ht="14.25" customHeight="1">
      <c r="C6" s="7" t="s">
        <v>15</v>
      </c>
      <c r="D6" s="7">
        <v>455625.0</v>
      </c>
      <c r="E6" s="7">
        <v>6255625.0</v>
      </c>
      <c r="F6" s="7">
        <v>8457500.0</v>
      </c>
      <c r="G6" s="7">
        <v>8907500.0</v>
      </c>
      <c r="H6" s="7">
        <v>6626875.0</v>
      </c>
      <c r="I6" s="7">
        <v>3976875.0</v>
      </c>
      <c r="J6" s="7">
        <v>2562500.0</v>
      </c>
      <c r="K6" s="7">
        <v>2562500.0</v>
      </c>
      <c r="L6" s="7">
        <v>2562500.0</v>
      </c>
      <c r="M6" s="7">
        <v>2562500.0</v>
      </c>
      <c r="N6" s="7">
        <v>475000.0</v>
      </c>
      <c r="O6" s="7">
        <v>475000.0</v>
      </c>
    </row>
    <row r="7" ht="14.25" customHeight="1">
      <c r="C7" s="7" t="s">
        <v>16</v>
      </c>
      <c r="D7" s="7">
        <v>-225000.00000000003</v>
      </c>
      <c r="E7" s="7">
        <v>-3125000.0000000005</v>
      </c>
      <c r="F7" s="7">
        <v>-4225000.0</v>
      </c>
      <c r="G7" s="7">
        <v>-4450000.0</v>
      </c>
      <c r="H7" s="7">
        <v>-3312500.0</v>
      </c>
      <c r="I7" s="7">
        <v>-1987500.0000000002</v>
      </c>
      <c r="J7" s="7">
        <v>-1112500.0</v>
      </c>
      <c r="K7" s="7">
        <v>-1112500.0</v>
      </c>
      <c r="L7" s="7">
        <v>-1112500.0</v>
      </c>
      <c r="M7" s="7">
        <v>-1112500.0</v>
      </c>
      <c r="N7" s="7">
        <v>-237500.00000000003</v>
      </c>
      <c r="O7" s="7">
        <v>-307500.0</v>
      </c>
    </row>
    <row r="8" ht="14.25" customHeight="1">
      <c r="C8" s="7" t="s">
        <v>17</v>
      </c>
      <c r="D8" s="7">
        <v>455625.0</v>
      </c>
      <c r="E8" s="7">
        <v>6711250.0</v>
      </c>
      <c r="F8" s="7">
        <v>1.516875E7</v>
      </c>
      <c r="G8" s="7">
        <v>2.407625E7</v>
      </c>
      <c r="H8" s="7">
        <v>3.0703125E7</v>
      </c>
      <c r="I8" s="7">
        <v>3.468E7</v>
      </c>
      <c r="J8" s="7">
        <v>3.72425E7</v>
      </c>
      <c r="K8" s="7">
        <v>3.9805E7</v>
      </c>
      <c r="L8" s="7">
        <v>4.23675E7</v>
      </c>
      <c r="M8" s="7">
        <v>4.493E7</v>
      </c>
      <c r="N8" s="7">
        <v>4.5405E7</v>
      </c>
      <c r="O8" s="7">
        <v>4.588E7</v>
      </c>
    </row>
    <row r="9" ht="14.25" customHeight="1">
      <c r="C9" s="7" t="s">
        <v>18</v>
      </c>
      <c r="D9" s="7">
        <v>-225000.00000000003</v>
      </c>
      <c r="E9" s="7">
        <v>-3350000.0000000005</v>
      </c>
      <c r="F9" s="7">
        <v>-7575000.0</v>
      </c>
      <c r="G9" s="7">
        <v>-1.2025E7</v>
      </c>
      <c r="H9" s="7">
        <v>-1.53375E7</v>
      </c>
      <c r="I9" s="7">
        <v>-1.7325E7</v>
      </c>
      <c r="J9" s="7">
        <v>-1.84375E7</v>
      </c>
      <c r="K9" s="7">
        <v>-1.955E7</v>
      </c>
      <c r="L9" s="7">
        <v>-2.06625E7</v>
      </c>
      <c r="M9" s="7">
        <v>-2.1775E7</v>
      </c>
      <c r="N9" s="7">
        <v>-2.20125E7</v>
      </c>
      <c r="O9" s="7">
        <v>-2.232E7</v>
      </c>
    </row>
    <row r="10" ht="14.25" customHeight="1">
      <c r="C10" s="7" t="s">
        <v>19</v>
      </c>
      <c r="D10" s="7">
        <v>230624.99999999997</v>
      </c>
      <c r="E10" s="7">
        <v>3130624.9999999995</v>
      </c>
      <c r="F10" s="7">
        <v>4232500.0</v>
      </c>
      <c r="G10" s="7">
        <v>4457500.0</v>
      </c>
      <c r="H10" s="7">
        <v>3314375.0</v>
      </c>
      <c r="I10" s="7">
        <v>1989374.9999999998</v>
      </c>
      <c r="J10" s="7">
        <v>1450000.0</v>
      </c>
      <c r="K10" s="7">
        <v>1450000.0</v>
      </c>
      <c r="L10" s="7">
        <v>1450000.0</v>
      </c>
      <c r="M10" s="7">
        <v>1450000.0</v>
      </c>
      <c r="N10" s="7">
        <v>237499.99999999997</v>
      </c>
      <c r="O10" s="7">
        <v>167500.0</v>
      </c>
    </row>
    <row r="11" ht="14.25" customHeight="1">
      <c r="C11" s="7" t="s">
        <v>20</v>
      </c>
      <c r="D11" s="7">
        <v>230624.99999999997</v>
      </c>
      <c r="E11" s="7">
        <v>3361249.9999999995</v>
      </c>
      <c r="F11" s="7">
        <v>7593750.0</v>
      </c>
      <c r="G11" s="7">
        <v>1.205125E7</v>
      </c>
      <c r="H11" s="7">
        <v>1.5365625E7</v>
      </c>
      <c r="I11" s="7">
        <v>1.7355E7</v>
      </c>
      <c r="J11" s="7">
        <v>1.8805E7</v>
      </c>
      <c r="K11" s="7">
        <v>2.0255E7</v>
      </c>
      <c r="L11" s="7">
        <v>2.1705E7</v>
      </c>
      <c r="M11" s="7">
        <v>2.3155E7</v>
      </c>
      <c r="N11" s="7">
        <v>2.33925E7</v>
      </c>
      <c r="O11" s="7">
        <v>2.356E7</v>
      </c>
    </row>
    <row r="12" ht="14.25" customHeight="1"/>
    <row r="13" ht="14.25" customHeight="1">
      <c r="C13" s="7" t="s">
        <v>21</v>
      </c>
      <c r="D13" s="7">
        <v>0.0</v>
      </c>
      <c r="E13" s="7">
        <v>2656250.0</v>
      </c>
      <c r="F13" s="7">
        <v>3129000.0</v>
      </c>
      <c r="G13" s="7">
        <v>6303750.0</v>
      </c>
      <c r="H13" s="7">
        <v>1.117125E7</v>
      </c>
      <c r="I13" s="7">
        <v>1.02575E7</v>
      </c>
      <c r="J13" s="7">
        <v>9807500.0</v>
      </c>
      <c r="K13" s="7">
        <v>2257500.0</v>
      </c>
      <c r="L13" s="7">
        <v>482500.0</v>
      </c>
      <c r="M13" s="7">
        <v>450000.0</v>
      </c>
      <c r="N13" s="7">
        <v>0.0</v>
      </c>
      <c r="O13" s="7">
        <v>0.0</v>
      </c>
    </row>
    <row r="14" ht="14.25" customHeight="1">
      <c r="C14" s="7" t="s">
        <v>22</v>
      </c>
      <c r="D14" s="7">
        <v>-186000.0</v>
      </c>
      <c r="E14" s="7">
        <v>-1765000.0</v>
      </c>
      <c r="F14" s="7">
        <v>-2155000.0</v>
      </c>
      <c r="G14" s="7">
        <v>-2975000.0</v>
      </c>
      <c r="H14" s="7">
        <v>-5335000.0</v>
      </c>
      <c r="I14" s="7">
        <v>-5410000.0</v>
      </c>
      <c r="J14" s="7">
        <v>-4800000.0</v>
      </c>
      <c r="K14" s="7">
        <v>-900000.0</v>
      </c>
      <c r="L14" s="7">
        <v>-360000.0</v>
      </c>
      <c r="M14" s="7">
        <v>-375000.0</v>
      </c>
      <c r="N14" s="7">
        <v>-120000.0</v>
      </c>
      <c r="O14" s="7">
        <v>-70000.0</v>
      </c>
    </row>
    <row r="15" ht="14.25" customHeight="1">
      <c r="C15" s="7" t="s">
        <v>23</v>
      </c>
      <c r="D15" s="7">
        <v>0.0</v>
      </c>
      <c r="E15" s="7">
        <v>2656250.0</v>
      </c>
      <c r="F15" s="7">
        <v>5785250.0</v>
      </c>
      <c r="G15" s="7">
        <v>1.2089E7</v>
      </c>
      <c r="H15" s="7">
        <v>2.326025E7</v>
      </c>
      <c r="I15" s="7">
        <v>3.351775E7</v>
      </c>
      <c r="J15" s="7">
        <v>4.332525E7</v>
      </c>
      <c r="K15" s="7">
        <v>4.558275E7</v>
      </c>
      <c r="L15" s="7">
        <v>4.606525E7</v>
      </c>
      <c r="M15" s="7">
        <v>4.651525E7</v>
      </c>
      <c r="N15" s="7">
        <v>4.651525E7</v>
      </c>
      <c r="O15" s="7">
        <v>4.651525E7</v>
      </c>
    </row>
    <row r="16" ht="14.25" customHeight="1">
      <c r="C16" s="7" t="s">
        <v>24</v>
      </c>
      <c r="D16" s="7">
        <v>-186000.0</v>
      </c>
      <c r="E16" s="7">
        <v>-1951000.0</v>
      </c>
      <c r="F16" s="7">
        <v>-4106000.0</v>
      </c>
      <c r="G16" s="7">
        <v>-7081000.0</v>
      </c>
      <c r="H16" s="7">
        <v>-1.2416E7</v>
      </c>
      <c r="I16" s="7">
        <v>-1.7826E7</v>
      </c>
      <c r="J16" s="7">
        <v>-2.2626E7</v>
      </c>
      <c r="K16" s="7">
        <v>-2.3526E7</v>
      </c>
      <c r="L16" s="7">
        <v>-2.3886E7</v>
      </c>
      <c r="M16" s="7">
        <v>-2.4261E7</v>
      </c>
      <c r="N16" s="7">
        <v>-2.4381E7</v>
      </c>
      <c r="O16" s="7">
        <v>-2.4451E7</v>
      </c>
    </row>
    <row r="17" ht="14.25" customHeight="1">
      <c r="C17" s="7" t="s">
        <v>25</v>
      </c>
      <c r="D17" s="7">
        <v>-186000.0</v>
      </c>
      <c r="E17" s="7">
        <v>891250.0</v>
      </c>
      <c r="F17" s="7">
        <v>974000.0</v>
      </c>
      <c r="G17" s="7">
        <v>3328750.0</v>
      </c>
      <c r="H17" s="7">
        <v>5836250.0</v>
      </c>
      <c r="I17" s="7">
        <v>4847500.0</v>
      </c>
      <c r="J17" s="7">
        <v>5007500.0</v>
      </c>
      <c r="K17" s="7">
        <v>1357500.0</v>
      </c>
      <c r="L17" s="7">
        <v>122500.0</v>
      </c>
      <c r="M17" s="7">
        <v>75000.0</v>
      </c>
      <c r="N17" s="7">
        <v>-120000.0</v>
      </c>
      <c r="O17" s="7">
        <v>-70000.0</v>
      </c>
    </row>
    <row r="18" ht="14.25" customHeight="1">
      <c r="C18" s="7" t="s">
        <v>26</v>
      </c>
      <c r="D18" s="7">
        <v>-186000.0</v>
      </c>
      <c r="E18" s="7">
        <v>705250.0</v>
      </c>
      <c r="F18" s="7">
        <v>1679250.0</v>
      </c>
      <c r="G18" s="7">
        <v>5008000.0</v>
      </c>
      <c r="H18" s="7">
        <v>1.084425E7</v>
      </c>
      <c r="I18" s="7">
        <v>1.569175E7</v>
      </c>
      <c r="J18" s="7">
        <v>2.069925E7</v>
      </c>
      <c r="K18" s="7">
        <v>2.205675E7</v>
      </c>
      <c r="L18" s="7">
        <v>2.217925E7</v>
      </c>
      <c r="M18" s="7">
        <v>2.225425E7</v>
      </c>
      <c r="N18" s="7">
        <v>2.213425E7</v>
      </c>
      <c r="O18" s="7">
        <v>2.206425E7</v>
      </c>
    </row>
    <row r="19" ht="14.25" customHeight="1"/>
    <row r="20" ht="14.25" customHeight="1">
      <c r="C20" s="7" t="s">
        <v>27</v>
      </c>
      <c r="D20" s="7">
        <f t="shared" ref="D20:O20" si="1">SUM(D6:D18)</f>
        <v>178500</v>
      </c>
      <c r="E20" s="7">
        <f t="shared" si="1"/>
        <v>16176750</v>
      </c>
      <c r="F20" s="7">
        <f t="shared" si="1"/>
        <v>28959000</v>
      </c>
      <c r="G20" s="7">
        <f t="shared" si="1"/>
        <v>49691000</v>
      </c>
      <c r="H20" s="7">
        <f t="shared" si="1"/>
        <v>70721000</v>
      </c>
      <c r="I20" s="7">
        <f t="shared" si="1"/>
        <v>79767250</v>
      </c>
      <c r="J20" s="7">
        <f t="shared" si="1"/>
        <v>91923500</v>
      </c>
      <c r="K20" s="7">
        <f t="shared" si="1"/>
        <v>90238500</v>
      </c>
      <c r="L20" s="7">
        <f t="shared" si="1"/>
        <v>90913500</v>
      </c>
      <c r="M20" s="7">
        <f t="shared" si="1"/>
        <v>93868500</v>
      </c>
      <c r="N20" s="7">
        <f t="shared" si="1"/>
        <v>91288500</v>
      </c>
      <c r="O20" s="7">
        <f t="shared" si="1"/>
        <v>91443500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H2"/>
  </mergeCells>
  <printOptions/>
  <pageMargins bottom="0.75" footer="0.0" header="0.0" left="0.7" right="0.7" top="0.75"/>
  <pageSetup orientation="landscape"/>
  <drawing r:id="rId1"/>
</worksheet>
</file>